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-jinyihe\Downloads\"/>
    </mc:Choice>
  </mc:AlternateContent>
  <xr:revisionPtr revIDLastSave="0" documentId="13_ncr:1_{15D086D1-B0BC-4910-84F2-2298F557453F}" xr6:coauthVersionLast="47" xr6:coauthVersionMax="47" xr10:uidLastSave="{00000000-0000-0000-0000-000000000000}"/>
  <bookViews>
    <workbookView xWindow="19090" yWindow="-110" windowWidth="38620" windowHeight="21100" xr2:uid="{951194C4-9D61-46BE-B0AE-7170A8ED2BCE}"/>
  </bookViews>
  <sheets>
    <sheet name="DCF Model" sheetId="4" r:id="rId1"/>
    <sheet name="MarketScreener Information" sheetId="5" r:id="rId2"/>
  </sheets>
  <definedNames>
    <definedName name="_xlnm.Print_Area" localSheetId="0">'DCF Model'!$A$1:$J$27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6" i="4" l="1"/>
  <c r="H14" i="4"/>
  <c r="H11" i="4"/>
  <c r="H17" i="4"/>
  <c r="F26" i="4"/>
  <c r="G26" i="4"/>
  <c r="E26" i="4"/>
  <c r="F23" i="4"/>
  <c r="G23" i="4"/>
  <c r="E23" i="4"/>
  <c r="E20" i="4"/>
  <c r="F20" i="4"/>
  <c r="G20" i="4"/>
  <c r="D20" i="4"/>
  <c r="I17" i="4"/>
  <c r="E17" i="4"/>
  <c r="F17" i="4"/>
  <c r="G17" i="4"/>
  <c r="D17" i="4"/>
  <c r="E14" i="4"/>
  <c r="F14" i="4"/>
  <c r="G14" i="4"/>
  <c r="D14" i="4"/>
  <c r="F11" i="4"/>
  <c r="G11" i="4"/>
  <c r="E11" i="4"/>
  <c r="F9" i="4"/>
  <c r="G9" i="4" s="1"/>
  <c r="H9" i="4" s="1"/>
  <c r="I9" i="4" s="1"/>
  <c r="E9" i="4"/>
  <c r="I14" i="4" l="1"/>
  <c r="I11" i="4"/>
  <c r="I10" i="4" s="1"/>
  <c r="H26" i="4"/>
  <c r="I26" i="4"/>
  <c r="H23" i="4"/>
  <c r="I23" i="4" s="1"/>
  <c r="H20" i="4"/>
  <c r="I20" i="4" s="1"/>
  <c r="I19" i="4" l="1"/>
  <c r="I22" i="4"/>
  <c r="I16" i="4"/>
  <c r="I13" i="4"/>
  <c r="I25" i="4"/>
</calcChain>
</file>

<file path=xl/sharedStrings.xml><?xml version="1.0" encoding="utf-8"?>
<sst xmlns="http://schemas.openxmlformats.org/spreadsheetml/2006/main" count="34" uniqueCount="21">
  <si>
    <t>*</t>
  </si>
  <si>
    <t>%</t>
  </si>
  <si>
    <t>Revenue</t>
  </si>
  <si>
    <t>EBITDA</t>
  </si>
  <si>
    <t>D&amp;A</t>
  </si>
  <si>
    <t>EBIT</t>
  </si>
  <si>
    <t>Capex</t>
  </si>
  <si>
    <t>Margin</t>
  </si>
  <si>
    <t>Growth</t>
  </si>
  <si>
    <t>Company Financials</t>
  </si>
  <si>
    <t>Unit</t>
  </si>
  <si>
    <t>30-June Year-End</t>
  </si>
  <si>
    <t>Change in Net Working Capital</t>
  </si>
  <si>
    <t>Source: MarketScreener</t>
  </si>
  <si>
    <t>Company</t>
  </si>
  <si>
    <t>A$M</t>
  </si>
  <si>
    <t>% Revenue</t>
  </si>
  <si>
    <t>DCF Model</t>
  </si>
  <si>
    <t>Verizon Communications Inc.</t>
  </si>
  <si>
    <t>NPV</t>
  </si>
  <si>
    <t>Shares(million)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</si>
</sst>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#,##0;\(#,##0\);\-"/>
    <numFmt numFmtId="165" formatCode="0.0%"/>
    <numFmt numFmtId="166" formatCode="&quot;FY&quot;0000&quot;A&quot;"/>
    <numFmt numFmtId="167" formatCode="&quot;FY&quot;0000&quot;F&quot;"/>
    <numFmt numFmtId="171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4"/>
      <color theme="0"/>
      <name val="Arial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2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/>
    </xf>
    <xf numFmtId="0" fontId="2" fillId="4" borderId="0" xfId="0" applyFont="1" applyFill="1"/>
    <xf numFmtId="0" fontId="2" fillId="4" borderId="0" xfId="0" applyFont="1" applyFill="1" applyAlignment="1">
      <alignment horizontal="right"/>
    </xf>
    <xf numFmtId="0" fontId="5" fillId="4" borderId="0" xfId="0" applyFont="1" applyFill="1"/>
    <xf numFmtId="0" fontId="4" fillId="0" borderId="0" xfId="0" applyFont="1"/>
    <xf numFmtId="0" fontId="5" fillId="2" borderId="0" xfId="0" applyFont="1" applyFill="1"/>
    <xf numFmtId="0" fontId="6" fillId="2" borderId="0" xfId="0" applyFont="1" applyFill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3" fillId="0" borderId="0" xfId="0" applyFont="1" applyAlignment="1">
      <alignment horizontal="left" indent="1"/>
    </xf>
    <xf numFmtId="166" fontId="4" fillId="0" borderId="0" xfId="0" applyNumberFormat="1" applyFont="1" applyAlignment="1">
      <alignment horizontal="right"/>
    </xf>
    <xf numFmtId="167" fontId="4" fillId="0" borderId="0" xfId="0" applyNumberFormat="1" applyFont="1" applyAlignment="1">
      <alignment horizontal="right"/>
    </xf>
    <xf numFmtId="164" fontId="2" fillId="5" borderId="2" xfId="0" applyNumberFormat="1" applyFont="1" applyFill="1" applyBorder="1"/>
    <xf numFmtId="165" fontId="2" fillId="5" borderId="2" xfId="0" applyNumberFormat="1" applyFont="1" applyFill="1" applyBorder="1"/>
    <xf numFmtId="164" fontId="2" fillId="5" borderId="3" xfId="0" applyNumberFormat="1" applyFont="1" applyFill="1" applyBorder="1"/>
    <xf numFmtId="164" fontId="2" fillId="3" borderId="2" xfId="0" applyNumberFormat="1" applyFont="1" applyFill="1" applyBorder="1"/>
    <xf numFmtId="0" fontId="7" fillId="0" borderId="0" xfId="0" applyFont="1"/>
    <xf numFmtId="0" fontId="4" fillId="5" borderId="2" xfId="0" applyFont="1" applyFill="1" applyBorder="1" applyAlignment="1">
      <alignment horizontal="left"/>
    </xf>
    <xf numFmtId="165" fontId="2" fillId="0" borderId="0" xfId="0" applyNumberFormat="1" applyFont="1"/>
    <xf numFmtId="165" fontId="9" fillId="5" borderId="2" xfId="0" applyNumberFormat="1" applyFont="1" applyFill="1" applyBorder="1"/>
    <xf numFmtId="164" fontId="9" fillId="5" borderId="3" xfId="0" applyNumberFormat="1" applyFont="1" applyFill="1" applyBorder="1"/>
    <xf numFmtId="164" fontId="10" fillId="5" borderId="3" xfId="0" applyNumberFormat="1" applyFont="1" applyFill="1" applyBorder="1"/>
    <xf numFmtId="171" fontId="2" fillId="0" borderId="0" xfId="1" applyNumberFormat="1" applyFont="1"/>
    <xf numFmtId="43" fontId="2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476250</xdr:colOff>
      <xdr:row>3</xdr:row>
      <xdr:rowOff>38100</xdr:rowOff>
    </xdr:from>
    <xdr:to>
      <xdr:col>15</xdr:col>
      <xdr:colOff>541774</xdr:colOff>
      <xdr:row>34</xdr:row>
      <xdr:rowOff>46886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0865B0-897F-4DE9-BEB0-950F36EEE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6250" y="586740"/>
          <a:ext cx="9209524" cy="5678066"/>
        </a:xfrm>
        <a:prstGeom prst="rect">
          <a:avLst/>
        </a:prstGeom>
      </xdr:spPr>
    </xdr:pic>
    <xdr:clientData/>
  </xdr:twoCellAnchor>
  <xdr:twoCellAnchor editAs="oneCell">
    <xdr:from>
      <xdr:col>16</xdr:col>
      <xdr:colOff>190500</xdr:colOff>
      <xdr:row>2</xdr:row>
      <xdr:rowOff>76200</xdr:rowOff>
    </xdr:from>
    <xdr:to>
      <xdr:col>30</xdr:col>
      <xdr:colOff>579909</xdr:colOff>
      <xdr:row>17</xdr:row>
      <xdr:rowOff>152033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0EFD4B-DDD1-417C-9900-88B8EA552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44100" y="441960"/>
          <a:ext cx="8923809" cy="2819033"/>
        </a:xfrm>
        <a:prstGeom prst="rect">
          <a:avLst/>
        </a:prstGeom>
      </xdr:spPr>
    </xdr:pic>
    <xdr:clientData/>
  </xdr:twoCellAnchor>
  <xdr:twoCellAnchor editAs="oneCell">
    <xdr:from>
      <xdr:col>31</xdr:col>
      <xdr:colOff>361950</xdr:colOff>
      <xdr:row>2</xdr:row>
      <xdr:rowOff>38100</xdr:rowOff>
    </xdr:from>
    <xdr:to>
      <xdr:col>46</xdr:col>
      <xdr:colOff>303664</xdr:colOff>
      <xdr:row>38</xdr:row>
      <xdr:rowOff>113433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B0332EC-2E81-4AB3-B2BE-7EB6FDF1FE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259550" y="403860"/>
          <a:ext cx="9085714" cy="66590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33C7AB-A615-451B-A4EC-EE107356099E}">
  <dimension ref="A1:I26"/>
  <sheetViews>
    <sheetView showGridLines="0" tabSelected="1" view="pageBreakPreview" zoomScaleNormal="100" zoomScaleSheetLayoutView="100" workbookViewId="0">
      <pane xSplit="3" ySplit="9" topLeftCell="D10" activePane="bottomRight" state="frozen"/>
      <selection pane="topRight" activeCell="D1" sqref="D1"/>
      <selection pane="bottomLeft" activeCell="A10" sqref="A10"/>
      <selection pane="bottomRight" activeCell="H6" sqref="H6"/>
    </sheetView>
  </sheetViews>
  <sheetFormatPr defaultColWidth="20.6328125" defaultRowHeight="15" customHeight="1" x14ac:dyDescent="0.25"/>
  <cols>
    <col min="1" max="1" width="2.6328125" style="2" customWidth="1"/>
    <col min="2" max="2" width="29.08984375" style="2" customWidth="1"/>
    <col min="3" max="3" width="7.90625" style="2" customWidth="1"/>
    <col min="4" max="4" width="23.36328125" style="2" customWidth="1"/>
    <col min="5" max="9" width="23.36328125" style="2" bestFit="1" customWidth="1"/>
    <col min="10" max="10" width="1.6328125" style="2" customWidth="1"/>
    <col min="11" max="16384" width="20.6328125" style="2"/>
  </cols>
  <sheetData>
    <row r="1" spans="1:9" s="1" customFormat="1" ht="35.15" customHeight="1" x14ac:dyDescent="0.4">
      <c r="B1" s="10" t="s">
        <v>17</v>
      </c>
      <c r="C1" s="9"/>
      <c r="D1" s="9"/>
      <c r="E1" s="9"/>
    </row>
    <row r="3" spans="1:9" ht="15" customHeight="1" x14ac:dyDescent="0.3">
      <c r="B3" s="8" t="s">
        <v>14</v>
      </c>
      <c r="C3" s="21" t="s">
        <v>18</v>
      </c>
      <c r="D3" s="21"/>
    </row>
    <row r="5" spans="1:9" s="5" customFormat="1" ht="15" customHeight="1" x14ac:dyDescent="0.3">
      <c r="A5" s="7" t="s">
        <v>0</v>
      </c>
      <c r="B5" s="7" t="s">
        <v>9</v>
      </c>
      <c r="E5" s="6"/>
      <c r="F5" s="6"/>
      <c r="G5" s="6"/>
      <c r="H5" s="6"/>
      <c r="I5" s="6"/>
    </row>
    <row r="6" spans="1:9" ht="15" customHeight="1" x14ac:dyDescent="0.3">
      <c r="B6" s="3"/>
      <c r="H6" s="2" t="s">
        <v>19</v>
      </c>
      <c r="I6" s="26">
        <f>I10/(1+7)+H10</f>
        <v>151738.8682132354</v>
      </c>
    </row>
    <row r="7" spans="1:9" ht="15" customHeight="1" x14ac:dyDescent="0.3">
      <c r="B7" s="3" t="s">
        <v>13</v>
      </c>
      <c r="G7" s="22"/>
      <c r="H7" s="2" t="s">
        <v>20</v>
      </c>
      <c r="I7" s="2">
        <v>4210</v>
      </c>
    </row>
    <row r="8" spans="1:9" ht="15" customHeight="1" x14ac:dyDescent="0.3">
      <c r="B8" s="3"/>
      <c r="I8" s="27"/>
    </row>
    <row r="9" spans="1:9" ht="15" customHeight="1" x14ac:dyDescent="0.3">
      <c r="B9" s="12" t="s">
        <v>11</v>
      </c>
      <c r="C9" s="11" t="s">
        <v>10</v>
      </c>
      <c r="D9" s="14">
        <v>2020</v>
      </c>
      <c r="E9" s="15">
        <f t="shared" ref="E9:I9" si="0">D9+1</f>
        <v>2021</v>
      </c>
      <c r="F9" s="15">
        <f t="shared" si="0"/>
        <v>2022</v>
      </c>
      <c r="G9" s="15">
        <f t="shared" si="0"/>
        <v>2023</v>
      </c>
      <c r="H9" s="15">
        <f t="shared" si="0"/>
        <v>2024</v>
      </c>
      <c r="I9" s="15">
        <f t="shared" si="0"/>
        <v>2025</v>
      </c>
    </row>
    <row r="10" spans="1:9" ht="15" customHeight="1" x14ac:dyDescent="0.25">
      <c r="B10" s="2" t="s">
        <v>2</v>
      </c>
      <c r="C10" s="4" t="s">
        <v>15</v>
      </c>
      <c r="D10" s="16">
        <v>128292</v>
      </c>
      <c r="E10" s="16">
        <v>133613</v>
      </c>
      <c r="F10" s="16">
        <v>136835</v>
      </c>
      <c r="G10" s="16">
        <v>133974</v>
      </c>
      <c r="H10" s="25">
        <v>134788</v>
      </c>
      <c r="I10" s="24">
        <f>H10*(1+I11)</f>
        <v>135606.94570588323</v>
      </c>
    </row>
    <row r="11" spans="1:9" ht="15" customHeight="1" x14ac:dyDescent="0.3">
      <c r="B11" s="13" t="s">
        <v>8</v>
      </c>
      <c r="C11" s="4" t="s">
        <v>1</v>
      </c>
      <c r="D11" s="4"/>
      <c r="E11" s="17">
        <f>E10/D10-1</f>
        <v>4.1475696068344003E-2</v>
      </c>
      <c r="F11" s="17">
        <f t="shared" ref="F11:H11" si="1">F10/E10-1</f>
        <v>2.4114420004041515E-2</v>
      </c>
      <c r="G11" s="17">
        <f t="shared" si="1"/>
        <v>-2.090839332042238E-2</v>
      </c>
      <c r="H11" s="17">
        <f t="shared" si="1"/>
        <v>6.0758057533552012E-3</v>
      </c>
      <c r="I11" s="23">
        <f>H11</f>
        <v>6.0758057533552012E-3</v>
      </c>
    </row>
    <row r="12" spans="1:9" ht="15" customHeight="1" x14ac:dyDescent="0.25">
      <c r="C12" s="4"/>
      <c r="D12" s="4"/>
    </row>
    <row r="13" spans="1:9" ht="15" customHeight="1" x14ac:dyDescent="0.25">
      <c r="B13" s="2" t="s">
        <v>3</v>
      </c>
      <c r="C13" s="4" t="s">
        <v>15</v>
      </c>
      <c r="D13" s="16">
        <v>40687</v>
      </c>
      <c r="E13" s="16">
        <v>45626</v>
      </c>
      <c r="F13" s="16">
        <v>45370</v>
      </c>
      <c r="G13" s="16">
        <v>34611</v>
      </c>
      <c r="H13" s="18">
        <v>40871</v>
      </c>
      <c r="I13" s="18">
        <f>I10*I14</f>
        <v>41119.324256945372</v>
      </c>
    </row>
    <row r="14" spans="1:9" ht="15" customHeight="1" x14ac:dyDescent="0.3">
      <c r="B14" s="13" t="s">
        <v>7</v>
      </c>
      <c r="C14" s="4" t="s">
        <v>1</v>
      </c>
      <c r="D14" s="17">
        <f>D13/D10</f>
        <v>0.31714370342655818</v>
      </c>
      <c r="E14" s="17">
        <f t="shared" ref="E14:H14" si="2">E13/E10</f>
        <v>0.34147874832538749</v>
      </c>
      <c r="F14" s="17">
        <f t="shared" si="2"/>
        <v>0.331567215990061</v>
      </c>
      <c r="G14" s="17">
        <f t="shared" si="2"/>
        <v>0.25834117067490708</v>
      </c>
      <c r="H14" s="17">
        <f>H13/H$10</f>
        <v>0.3032243226399976</v>
      </c>
      <c r="I14" s="23">
        <f>H14</f>
        <v>0.3032243226399976</v>
      </c>
    </row>
    <row r="15" spans="1:9" ht="15" customHeight="1" x14ac:dyDescent="0.25">
      <c r="C15" s="4"/>
      <c r="D15" s="4"/>
    </row>
    <row r="16" spans="1:9" ht="15" customHeight="1" x14ac:dyDescent="0.25">
      <c r="B16" s="2" t="s">
        <v>4</v>
      </c>
      <c r="C16" s="4" t="s">
        <v>15</v>
      </c>
      <c r="D16" s="16">
        <v>16720</v>
      </c>
      <c r="E16" s="16">
        <v>16206</v>
      </c>
      <c r="F16" s="16">
        <v>17099</v>
      </c>
      <c r="G16" s="16">
        <v>17624</v>
      </c>
      <c r="H16" s="16">
        <v>17892</v>
      </c>
      <c r="I16" s="16">
        <f>I10*I17</f>
        <v>18000.708316539032</v>
      </c>
    </row>
    <row r="17" spans="2:9" ht="15" customHeight="1" x14ac:dyDescent="0.3">
      <c r="B17" s="13" t="s">
        <v>16</v>
      </c>
      <c r="C17" s="4" t="s">
        <v>1</v>
      </c>
      <c r="D17" s="17">
        <f>D16/D10</f>
        <v>0.13032768995728494</v>
      </c>
      <c r="E17" s="17">
        <f t="shared" ref="E17:G17" si="3">E16/E10</f>
        <v>0.12129059298122188</v>
      </c>
      <c r="F17" s="17">
        <f t="shared" si="3"/>
        <v>0.1249607191142617</v>
      </c>
      <c r="G17" s="17">
        <f t="shared" si="3"/>
        <v>0.13154791228148746</v>
      </c>
      <c r="H17" s="17">
        <f>H16/H$10</f>
        <v>0.13274178710270945</v>
      </c>
      <c r="I17" s="17">
        <f>H17</f>
        <v>0.13274178710270945</v>
      </c>
    </row>
    <row r="18" spans="2:9" ht="15" customHeight="1" x14ac:dyDescent="0.25">
      <c r="C18" s="4"/>
      <c r="D18" s="4"/>
    </row>
    <row r="19" spans="2:9" ht="15" customHeight="1" x14ac:dyDescent="0.25">
      <c r="B19" s="2" t="s">
        <v>5</v>
      </c>
      <c r="C19" s="4" t="s">
        <v>15</v>
      </c>
      <c r="D19" s="16">
        <v>28798</v>
      </c>
      <c r="E19" s="16">
        <v>32448</v>
      </c>
      <c r="F19" s="16">
        <v>30467</v>
      </c>
      <c r="G19" s="16">
        <v>22877</v>
      </c>
      <c r="H19" s="16">
        <v>28686</v>
      </c>
      <c r="I19" s="16">
        <f>I10*I20</f>
        <v>28860.290563840746</v>
      </c>
    </row>
    <row r="20" spans="2:9" ht="15" customHeight="1" x14ac:dyDescent="0.3">
      <c r="B20" s="13" t="s">
        <v>7</v>
      </c>
      <c r="C20" s="4" t="s">
        <v>1</v>
      </c>
      <c r="D20" s="17">
        <f>D19/D10</f>
        <v>0.22447229757116577</v>
      </c>
      <c r="E20" s="17">
        <f t="shared" ref="E20:G20" si="4">E19/E10</f>
        <v>0.24285062082282413</v>
      </c>
      <c r="F20" s="17">
        <f t="shared" si="4"/>
        <v>0.22265502247232069</v>
      </c>
      <c r="G20" s="17">
        <f t="shared" si="4"/>
        <v>0.17075701255467479</v>
      </c>
      <c r="H20" s="17">
        <f>H19/H$10</f>
        <v>0.21282309997922663</v>
      </c>
      <c r="I20" s="17">
        <f>H20</f>
        <v>0.21282309997922663</v>
      </c>
    </row>
    <row r="21" spans="2:9" ht="15" customHeight="1" x14ac:dyDescent="0.3">
      <c r="B21" s="3"/>
    </row>
    <row r="22" spans="2:9" ht="15" customHeight="1" x14ac:dyDescent="0.25">
      <c r="B22" s="2" t="s">
        <v>6</v>
      </c>
      <c r="C22" s="4" t="s">
        <v>15</v>
      </c>
      <c r="E22" s="16">
        <v>18192</v>
      </c>
      <c r="F22" s="16">
        <v>20286</v>
      </c>
      <c r="G22" s="16">
        <v>18767</v>
      </c>
      <c r="H22" s="16">
        <v>17090</v>
      </c>
      <c r="I22" s="16">
        <f>I10*I23</f>
        <v>17193.835520324839</v>
      </c>
    </row>
    <row r="23" spans="2:9" ht="15" customHeight="1" x14ac:dyDescent="0.3">
      <c r="B23" s="13" t="s">
        <v>16</v>
      </c>
      <c r="C23" s="4" t="s">
        <v>1</v>
      </c>
      <c r="E23" s="17">
        <f>E22/E10</f>
        <v>0.13615441611220466</v>
      </c>
      <c r="F23" s="17">
        <f t="shared" ref="F23:G23" si="5">F22/F10</f>
        <v>0.14825154383016043</v>
      </c>
      <c r="G23" s="17">
        <f t="shared" si="5"/>
        <v>0.14007941839461388</v>
      </c>
      <c r="H23" s="17">
        <f>H22/H$10</f>
        <v>0.12679170252544736</v>
      </c>
      <c r="I23" s="17">
        <f>H23</f>
        <v>0.12679170252544736</v>
      </c>
    </row>
    <row r="24" spans="2:9" ht="15" customHeight="1" x14ac:dyDescent="0.25">
      <c r="C24" s="4"/>
      <c r="D24" s="4"/>
    </row>
    <row r="25" spans="2:9" ht="15" customHeight="1" x14ac:dyDescent="0.25">
      <c r="B25" s="2" t="s">
        <v>12</v>
      </c>
      <c r="C25" s="4" t="s">
        <v>15</v>
      </c>
      <c r="E25" s="19">
        <v>-10432</v>
      </c>
      <c r="F25" s="19">
        <v>-12314</v>
      </c>
      <c r="G25" s="19">
        <v>-16409</v>
      </c>
      <c r="H25" s="16">
        <v>-24248</v>
      </c>
      <c r="I25" s="16">
        <f>I10*I26</f>
        <v>-24395.326137907356</v>
      </c>
    </row>
    <row r="26" spans="2:9" ht="15" customHeight="1" x14ac:dyDescent="0.3">
      <c r="B26" s="13" t="s">
        <v>16</v>
      </c>
      <c r="C26" s="4" t="s">
        <v>1</v>
      </c>
      <c r="E26" s="17">
        <f>E25/E10</f>
        <v>-7.8076235096884286E-2</v>
      </c>
      <c r="F26" s="17">
        <f t="shared" ref="F26:G26" si="6">F25/F10</f>
        <v>-8.9991595717469952E-2</v>
      </c>
      <c r="G26" s="17">
        <f t="shared" si="6"/>
        <v>-0.12247898846044755</v>
      </c>
      <c r="H26" s="17">
        <f>H25/H$10</f>
        <v>-0.17989732023622282</v>
      </c>
      <c r="I26" s="17">
        <f>H26</f>
        <v>-0.17989732023622282</v>
      </c>
    </row>
  </sheetData>
  <pageMargins left="0.7" right="0.7" top="0.75" bottom="0.75" header="0.3" footer="0.3"/>
  <pageSetup paperSize="9" scale="18" orientation="portrait" horizontalDpi="4294967293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CA62B-A68D-4628-9C58-F192553DEC51}">
  <dimension ref="A2:A53"/>
  <sheetViews>
    <sheetView showGridLines="0" zoomScale="40" zoomScaleNormal="40" workbookViewId="0"/>
  </sheetViews>
  <sheetFormatPr defaultRowHeight="14.5" x14ac:dyDescent="0.35"/>
  <sheetData>
    <row r="2" spans="1:1" x14ac:dyDescent="0.35">
      <c r="A2" s="20"/>
    </row>
    <row r="20" spans="1:1" x14ac:dyDescent="0.35">
      <c r="A20" s="20"/>
    </row>
    <row r="26" spans="1:1" x14ac:dyDescent="0.35">
      <c r="A26" s="20"/>
    </row>
    <row r="31" spans="1:1" x14ac:dyDescent="0.35">
      <c r="A31" s="20"/>
    </row>
    <row r="42" spans="1:1" x14ac:dyDescent="0.35">
      <c r="A42" s="20"/>
    </row>
    <row r="53" spans="1:1" x14ac:dyDescent="0.35">
      <c r="A53" s="20"/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DCF Model</vt:lpstr>
      <vt:lpstr>MarketScreener Information</vt:lpstr>
      <vt:lpstr>'DCF Model'!Print_Area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</dc:creator>
  <cp:lastModifiedBy>Jinyi He (Centific Technologies Inc)</cp:lastModifiedBy>
  <dcterms:created xsi:type="dcterms:W3CDTF">2020-07-20T11:12:49Z</dcterms:created>
  <dcterms:modified xsi:type="dcterms:W3CDTF">2025-11-28T04:06:47Z</dcterms:modified>
</cp:coreProperties>
</file>