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-0\Dropbox\MN Work\Course Creation\Udemy\Courses\2. Step-by-Step DCF Valuation\Content\Section 5\"/>
    </mc:Choice>
  </mc:AlternateContent>
  <xr:revisionPtr revIDLastSave="0" documentId="13_ncr:1_{2A9EDBD4-80E7-40C2-8229-8D68906D6DCA}" xr6:coauthVersionLast="46" xr6:coauthVersionMax="46" xr10:uidLastSave="{00000000-0000-0000-0000-000000000000}"/>
  <bookViews>
    <workbookView xWindow="22932" yWindow="-108" windowWidth="23256" windowHeight="12576" xr2:uid="{951194C4-9D61-46BE-B0AE-7170A8ED2BCE}"/>
  </bookViews>
  <sheets>
    <sheet name="Finish" sheetId="3" r:id="rId1"/>
  </sheets>
  <definedNames>
    <definedName name="_xlnm.Print_Area" localSheetId="0">Finish!$A$1:$J$88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1" i="3" l="1"/>
  <c r="E72" i="3" s="1"/>
  <c r="E69" i="3"/>
  <c r="F69" i="3" s="1"/>
  <c r="G69" i="3" s="1"/>
  <c r="H69" i="3" s="1"/>
  <c r="I69" i="3" s="1"/>
  <c r="I67" i="3"/>
  <c r="H67" i="3"/>
  <c r="G67" i="3"/>
  <c r="F67" i="3"/>
  <c r="E67" i="3"/>
  <c r="I66" i="3"/>
  <c r="H66" i="3"/>
  <c r="G66" i="3"/>
  <c r="F66" i="3"/>
  <c r="E66" i="3"/>
  <c r="I65" i="3"/>
  <c r="H65" i="3"/>
  <c r="G65" i="3"/>
  <c r="F65" i="3"/>
  <c r="E65" i="3"/>
  <c r="I64" i="3"/>
  <c r="H64" i="3"/>
  <c r="I63" i="3"/>
  <c r="I68" i="3" s="1"/>
  <c r="H63" i="3"/>
  <c r="H68" i="3" s="1"/>
  <c r="G63" i="3"/>
  <c r="G64" i="3" s="1"/>
  <c r="F63" i="3"/>
  <c r="F64" i="3" s="1"/>
  <c r="D57" i="3"/>
  <c r="D54" i="3"/>
  <c r="H70" i="3" l="1"/>
  <c r="I76" i="3"/>
  <c r="I70" i="3"/>
  <c r="F71" i="3"/>
  <c r="F68" i="3"/>
  <c r="F70" i="3" s="1"/>
  <c r="G68" i="3"/>
  <c r="G70" i="3" s="1"/>
  <c r="G25" i="3"/>
  <c r="F25" i="3"/>
  <c r="E25" i="3"/>
  <c r="G23" i="3"/>
  <c r="H23" i="3" s="1"/>
  <c r="F23" i="3"/>
  <c r="E23" i="3"/>
  <c r="G16" i="3"/>
  <c r="G19" i="3" s="1"/>
  <c r="G20" i="3" s="1"/>
  <c r="F16" i="3"/>
  <c r="F17" i="3" s="1"/>
  <c r="E16" i="3"/>
  <c r="E19" i="3" s="1"/>
  <c r="D16" i="3"/>
  <c r="D19" i="3" s="1"/>
  <c r="D20" i="3" s="1"/>
  <c r="G14" i="3"/>
  <c r="H14" i="3" s="1"/>
  <c r="F14" i="3"/>
  <c r="E14" i="3"/>
  <c r="D14" i="3"/>
  <c r="G11" i="3"/>
  <c r="H11" i="3" s="1"/>
  <c r="F11" i="3"/>
  <c r="E11" i="3"/>
  <c r="E9" i="3"/>
  <c r="F9" i="3" s="1"/>
  <c r="G9" i="3" s="1"/>
  <c r="H9" i="3" s="1"/>
  <c r="I9" i="3" s="1"/>
  <c r="E20" i="3" l="1"/>
  <c r="E63" i="3"/>
  <c r="E64" i="3" s="1"/>
  <c r="E68" i="3" s="1"/>
  <c r="E70" i="3" s="1"/>
  <c r="E73" i="3" s="1"/>
  <c r="G71" i="3"/>
  <c r="F72" i="3"/>
  <c r="F73" i="3" s="1"/>
  <c r="D17" i="3"/>
  <c r="G17" i="3"/>
  <c r="H17" i="3" s="1"/>
  <c r="I17" i="3" s="1"/>
  <c r="I14" i="3"/>
  <c r="I11" i="3"/>
  <c r="H10" i="3"/>
  <c r="F19" i="3"/>
  <c r="F20" i="3" s="1"/>
  <c r="I23" i="3"/>
  <c r="E17" i="3"/>
  <c r="G72" i="3" l="1"/>
  <c r="G73" i="3" s="1"/>
  <c r="H71" i="3"/>
  <c r="H16" i="3"/>
  <c r="H22" i="3"/>
  <c r="H25" i="3"/>
  <c r="I10" i="3"/>
  <c r="I25" i="3" s="1"/>
  <c r="H13" i="3"/>
  <c r="H19" i="3" s="1"/>
  <c r="H20" i="3" s="1"/>
  <c r="I71" i="3" l="1"/>
  <c r="I72" i="3" s="1"/>
  <c r="H72" i="3"/>
  <c r="H73" i="3" s="1"/>
  <c r="I22" i="3"/>
  <c r="I13" i="3"/>
  <c r="I16" i="3"/>
  <c r="I77" i="3" l="1"/>
  <c r="I78" i="3" s="1"/>
  <c r="D82" i="3" s="1"/>
  <c r="I73" i="3"/>
  <c r="D81" i="3"/>
  <c r="I19" i="3"/>
  <c r="I20" i="3" s="1"/>
  <c r="D40" i="3"/>
  <c r="D83" i="3" l="1"/>
  <c r="D85" i="3" s="1"/>
  <c r="D87" i="3" s="1"/>
  <c r="D47" i="3"/>
  <c r="D45" i="3"/>
  <c r="D43" i="3"/>
  <c r="D34" i="3"/>
  <c r="E82" i="3" l="1"/>
  <c r="E81" i="3"/>
  <c r="D44" i="3"/>
  <c r="D46" i="3"/>
  <c r="D48" i="3" l="1"/>
  <c r="D56" i="3" s="1"/>
</calcChain>
</file>

<file path=xl/sharedStrings.xml><?xml version="1.0" encoding="utf-8"?>
<sst xmlns="http://schemas.openxmlformats.org/spreadsheetml/2006/main" count="127" uniqueCount="65">
  <si>
    <t>*</t>
  </si>
  <si>
    <t>Assumptions</t>
  </si>
  <si>
    <t>WACC</t>
  </si>
  <si>
    <t>%</t>
  </si>
  <si>
    <t>Tax Rate</t>
  </si>
  <si>
    <t>#</t>
  </si>
  <si>
    <t>Revenue</t>
  </si>
  <si>
    <t>EBITDA</t>
  </si>
  <si>
    <t>D&amp;A</t>
  </si>
  <si>
    <t>EBIT</t>
  </si>
  <si>
    <t>Capex</t>
  </si>
  <si>
    <t>Margin</t>
  </si>
  <si>
    <t>Growth</t>
  </si>
  <si>
    <t>m</t>
  </si>
  <si>
    <t>Cost of Debt</t>
  </si>
  <si>
    <t>Cost of Equity</t>
  </si>
  <si>
    <t>Target % Equity / Total Capital</t>
  </si>
  <si>
    <t>Target % Debt / Total Capital</t>
  </si>
  <si>
    <t>Risk-Free Rate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</si>
  <si>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</si>
  <si>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</si>
  <si>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</si>
  <si>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</si>
  <si>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</si>
  <si>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</si>
  <si>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</si>
  <si>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</si>
  <si>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CAPM</t>
  </si>
  <si>
    <t>Beta</t>
  </si>
  <si>
    <t>DCF Model</t>
  </si>
  <si>
    <t>% Debt / Total Capital</t>
  </si>
  <si>
    <t>% Equity / Total Capital</t>
  </si>
  <si>
    <t>Market Risk Premium</t>
  </si>
  <si>
    <t>Boral</t>
  </si>
  <si>
    <t>ASX: BLD</t>
  </si>
  <si>
    <t>DCF Assumptions</t>
  </si>
  <si>
    <t>Valuation Date</t>
  </si>
  <si>
    <t>date</t>
  </si>
  <si>
    <t>First Forecast Year End</t>
  </si>
  <si>
    <t>Stub (period remaining)</t>
  </si>
  <si>
    <t>Terminal Growth Rate</t>
  </si>
  <si>
    <t>DCF Analysis</t>
  </si>
  <si>
    <t>Free Cash Flow (FCF)</t>
  </si>
  <si>
    <t>Minus: Taxes</t>
  </si>
  <si>
    <t>Plus: D&amp;A</t>
  </si>
  <si>
    <t>Minus: Capex</t>
  </si>
  <si>
    <t>Plus/Minus: Change in Net Working Capital</t>
  </si>
  <si>
    <t>Year Remaining</t>
  </si>
  <si>
    <t>years</t>
  </si>
  <si>
    <t>Year Count</t>
  </si>
  <si>
    <t>Discount Factor</t>
  </si>
  <si>
    <t>Present Value of Unlevered FCF</t>
  </si>
  <si>
    <t>Terminal Value (Gordon Growth Method)</t>
  </si>
  <si>
    <t>Terminal Value</t>
  </si>
  <si>
    <t>Present Value of Terminal Value</t>
  </si>
  <si>
    <t>DCF Summary</t>
  </si>
  <si>
    <t>Net Present Value (DCF Valuation)</t>
  </si>
  <si>
    <t>Minus: Latest Net Debt</t>
  </si>
  <si>
    <t>Implied Equity Value</t>
  </si>
  <si>
    <t>Shares Outstanding</t>
  </si>
  <si>
    <t>M</t>
  </si>
  <si>
    <t>Implied Share Price</t>
  </si>
  <si>
    <t>A$ / Share</t>
  </si>
  <si>
    <t>FCF (pre-stub)</t>
  </si>
  <si>
    <t>FCF (post-stub)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</si>
</sst>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#,##0.00;\(#,##0.00\);\-"/>
    <numFmt numFmtId="167" formatCode="&quot;FY&quot;0000&quot;A&quot;"/>
    <numFmt numFmtId="168" formatCode="&quot;FY&quot;0000&quot;F&quot;"/>
    <numFmt numFmtId="169" formatCode="#,##0.000;\(#,##0.000\);\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6" fillId="4" borderId="0" xfId="0" applyFont="1" applyFill="1"/>
    <xf numFmtId="165" fontId="7" fillId="0" borderId="0" xfId="0" applyNumberFormat="1" applyFont="1" applyAlignment="1">
      <alignment horizontal="right"/>
    </xf>
    <xf numFmtId="0" fontId="5" fillId="0" borderId="0" xfId="0" applyFont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5" fontId="2" fillId="3" borderId="3" xfId="0" applyNumberFormat="1" applyFont="1" applyFill="1" applyBorder="1" applyAlignment="1"/>
    <xf numFmtId="164" fontId="2" fillId="0" borderId="4" xfId="0" applyNumberFormat="1" applyFont="1" applyBorder="1"/>
    <xf numFmtId="164" fontId="2" fillId="0" borderId="0" xfId="0" applyNumberFormat="1" applyFont="1"/>
    <xf numFmtId="0" fontId="10" fillId="0" borderId="0" xfId="1"/>
    <xf numFmtId="166" fontId="2" fillId="3" borderId="3" xfId="0" applyNumberFormat="1" applyFont="1" applyFill="1" applyBorder="1" applyAlignment="1"/>
    <xf numFmtId="165" fontId="7" fillId="3" borderId="3" xfId="0" applyNumberFormat="1" applyFont="1" applyFill="1" applyBorder="1" applyAlignment="1">
      <alignment horizontal="right"/>
    </xf>
    <xf numFmtId="165" fontId="4" fillId="0" borderId="2" xfId="0" applyNumberFormat="1" applyFont="1" applyFill="1" applyBorder="1" applyAlignment="1">
      <alignment horizontal="right"/>
    </xf>
    <xf numFmtId="0" fontId="2" fillId="0" borderId="0" xfId="0" applyFont="1" applyFill="1"/>
    <xf numFmtId="165" fontId="2" fillId="3" borderId="3" xfId="0" applyNumberFormat="1" applyFont="1" applyFill="1" applyBorder="1"/>
    <xf numFmtId="0" fontId="2" fillId="0" borderId="0" xfId="0" quotePrefix="1" applyFont="1"/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2" fillId="3" borderId="3" xfId="0" applyNumberFormat="1" applyFont="1" applyFill="1" applyBorder="1"/>
    <xf numFmtId="165" fontId="2" fillId="5" borderId="3" xfId="0" applyNumberFormat="1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65" fontId="4" fillId="0" borderId="0" xfId="0" applyNumberFormat="1" applyFont="1" applyFill="1" applyBorder="1" applyAlignment="1">
      <alignment horizontal="right"/>
    </xf>
    <xf numFmtId="15" fontId="2" fillId="3" borderId="3" xfId="0" applyNumberFormat="1" applyFont="1" applyFill="1" applyBorder="1"/>
    <xf numFmtId="4" fontId="2" fillId="0" borderId="0" xfId="0" applyNumberFormat="1" applyFont="1"/>
    <xf numFmtId="0" fontId="11" fillId="0" borderId="0" xfId="0" applyFont="1"/>
    <xf numFmtId="0" fontId="12" fillId="0" borderId="2" xfId="0" applyFont="1" applyBorder="1"/>
    <xf numFmtId="164" fontId="5" fillId="0" borderId="2" xfId="0" applyNumberFormat="1" applyFont="1" applyBorder="1"/>
    <xf numFmtId="0" fontId="8" fillId="0" borderId="0" xfId="0" applyFont="1" applyAlignment="1">
      <alignment horizontal="center"/>
    </xf>
    <xf numFmtId="9" fontId="2" fillId="0" borderId="0" xfId="0" applyNumberFormat="1" applyFont="1"/>
    <xf numFmtId="164" fontId="4" fillId="0" borderId="2" xfId="0" applyNumberFormat="1" applyFont="1" applyBorder="1"/>
    <xf numFmtId="169" fontId="2" fillId="3" borderId="3" xfId="0" applyNumberFormat="1" applyFont="1" applyFill="1" applyBorder="1"/>
    <xf numFmtId="166" fontId="4" fillId="0" borderId="2" xfId="0" applyNumberFormat="1" applyFont="1" applyBorder="1"/>
    <xf numFmtId="164" fontId="2" fillId="0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8D7-618B-4284-B9C3-17C021484A31}">
  <dimension ref="A1:J87"/>
  <sheetViews>
    <sheetView showGridLines="0" tabSelected="1" view="pageBreakPreview" zoomScale="70" zoomScaleNormal="100" zoomScaleSheetLayoutView="70" workbookViewId="0"/>
  </sheetViews>
  <sheetFormatPr defaultColWidth="20.6640625" defaultRowHeight="15" customHeight="1" x14ac:dyDescent="0.25"/>
  <cols>
    <col min="1" max="1" width="2.6640625" style="2" customWidth="1"/>
    <col min="2" max="2" width="48.5546875" style="2" bestFit="1" customWidth="1"/>
    <col min="3" max="3" width="23.33203125" style="2" bestFit="1" customWidth="1"/>
    <col min="4" max="4" width="23.33203125" style="2" customWidth="1"/>
    <col min="5" max="9" width="23.33203125" style="2" bestFit="1" customWidth="1"/>
    <col min="10" max="10" width="1.6640625" style="2" customWidth="1"/>
    <col min="11" max="16384" width="20.6640625" style="2"/>
  </cols>
  <sheetData>
    <row r="1" spans="1:9" s="1" customFormat="1" ht="35.1" customHeight="1" x14ac:dyDescent="0.3">
      <c r="B1" s="15" t="s">
        <v>29</v>
      </c>
      <c r="C1" s="14"/>
      <c r="D1" s="14"/>
      <c r="E1" s="14"/>
    </row>
    <row r="3" spans="1:9" ht="15" customHeight="1" x14ac:dyDescent="0.25">
      <c r="B3" s="12" t="s">
        <v>24</v>
      </c>
      <c r="C3" s="18" t="s">
        <v>33</v>
      </c>
      <c r="D3" s="19" t="s">
        <v>34</v>
      </c>
    </row>
    <row r="5" spans="1:9" s="8" customFormat="1" ht="15" customHeight="1" x14ac:dyDescent="0.25">
      <c r="A5" s="10" t="s">
        <v>0</v>
      </c>
      <c r="B5" s="10" t="s">
        <v>19</v>
      </c>
      <c r="E5" s="9"/>
      <c r="F5" s="9"/>
      <c r="G5" s="9"/>
      <c r="H5" s="9"/>
      <c r="I5" s="9"/>
    </row>
    <row r="6" spans="1:9" ht="15" customHeight="1" x14ac:dyDescent="0.25">
      <c r="B6" s="3"/>
    </row>
    <row r="7" spans="1:9" ht="15" customHeight="1" x14ac:dyDescent="0.25">
      <c r="B7" s="3" t="s">
        <v>23</v>
      </c>
    </row>
    <row r="8" spans="1:9" ht="15" customHeight="1" x14ac:dyDescent="0.25">
      <c r="B8" s="3"/>
    </row>
    <row r="9" spans="1:9" ht="15" customHeight="1" x14ac:dyDescent="0.25">
      <c r="B9" s="17" t="s">
        <v>21</v>
      </c>
      <c r="C9" s="16" t="s">
        <v>20</v>
      </c>
      <c r="D9" s="31">
        <v>2020</v>
      </c>
      <c r="E9" s="32">
        <f t="shared" ref="E9:I9" si="0">D9+1</f>
        <v>2021</v>
      </c>
      <c r="F9" s="32">
        <f t="shared" si="0"/>
        <v>2022</v>
      </c>
      <c r="G9" s="32">
        <f t="shared" si="0"/>
        <v>2023</v>
      </c>
      <c r="H9" s="32">
        <f t="shared" si="0"/>
        <v>2024</v>
      </c>
      <c r="I9" s="32">
        <f t="shared" si="0"/>
        <v>2025</v>
      </c>
    </row>
    <row r="10" spans="1:9" ht="15" customHeight="1" x14ac:dyDescent="0.25">
      <c r="B10" s="2" t="s">
        <v>6</v>
      </c>
      <c r="C10" s="7" t="s">
        <v>25</v>
      </c>
      <c r="D10" s="33">
        <v>5728</v>
      </c>
      <c r="E10" s="33">
        <v>5552</v>
      </c>
      <c r="F10" s="33">
        <v>5852</v>
      </c>
      <c r="G10" s="33">
        <v>6048</v>
      </c>
      <c r="H10" s="22">
        <f>G10*(1+H11)</f>
        <v>6250.5645933014357</v>
      </c>
      <c r="I10" s="22">
        <f>H10*(1+I11)</f>
        <v>6459.9136466655991</v>
      </c>
    </row>
    <row r="11" spans="1:9" ht="15" customHeight="1" x14ac:dyDescent="0.25">
      <c r="B11" s="20" t="s">
        <v>12</v>
      </c>
      <c r="C11" s="7" t="s">
        <v>3</v>
      </c>
      <c r="D11" s="7"/>
      <c r="E11" s="6">
        <f>E10/D10-1</f>
        <v>-3.0726256983240274E-2</v>
      </c>
      <c r="F11" s="6">
        <f>F10/E10-1</f>
        <v>5.4034582132564735E-2</v>
      </c>
      <c r="G11" s="6">
        <f>G10/F10-1</f>
        <v>3.3492822966507241E-2</v>
      </c>
      <c r="H11" s="29">
        <f>G11</f>
        <v>3.3492822966507241E-2</v>
      </c>
      <c r="I11" s="29">
        <f>H11</f>
        <v>3.3492822966507241E-2</v>
      </c>
    </row>
    <row r="12" spans="1:9" ht="15" customHeight="1" x14ac:dyDescent="0.25">
      <c r="C12" s="7"/>
      <c r="D12" s="7"/>
    </row>
    <row r="13" spans="1:9" ht="15" customHeight="1" x14ac:dyDescent="0.25">
      <c r="B13" s="2" t="s">
        <v>7</v>
      </c>
      <c r="C13" s="7" t="s">
        <v>25</v>
      </c>
      <c r="D13" s="33">
        <v>821</v>
      </c>
      <c r="E13" s="33">
        <v>890</v>
      </c>
      <c r="F13" s="33">
        <v>988</v>
      </c>
      <c r="G13" s="33">
        <v>1073</v>
      </c>
      <c r="H13" s="22">
        <f>H14*H10</f>
        <v>1108.9377990430623</v>
      </c>
      <c r="I13" s="22">
        <f>I14*I10</f>
        <v>1146.0792564272797</v>
      </c>
    </row>
    <row r="14" spans="1:9" ht="15" customHeight="1" x14ac:dyDescent="0.25">
      <c r="B14" s="20" t="s">
        <v>11</v>
      </c>
      <c r="C14" s="7" t="s">
        <v>3</v>
      </c>
      <c r="D14" s="6">
        <f>D13/D10</f>
        <v>0.14333100558659218</v>
      </c>
      <c r="E14" s="6">
        <f>E13/E10</f>
        <v>0.16030259365994237</v>
      </c>
      <c r="F14" s="6">
        <f t="shared" ref="F14:G14" si="1">F13/F10</f>
        <v>0.16883116883116883</v>
      </c>
      <c r="G14" s="6">
        <f t="shared" si="1"/>
        <v>0.17741402116402116</v>
      </c>
      <c r="H14" s="29">
        <f>G14</f>
        <v>0.17741402116402116</v>
      </c>
      <c r="I14" s="29">
        <f>H14</f>
        <v>0.17741402116402116</v>
      </c>
    </row>
    <row r="15" spans="1:9" ht="15" customHeight="1" x14ac:dyDescent="0.25">
      <c r="C15" s="7"/>
      <c r="D15" s="7"/>
    </row>
    <row r="16" spans="1:9" ht="15" customHeight="1" x14ac:dyDescent="0.25">
      <c r="B16" s="2" t="s">
        <v>8</v>
      </c>
      <c r="C16" s="7" t="s">
        <v>25</v>
      </c>
      <c r="D16" s="33">
        <f>821-329</f>
        <v>492</v>
      </c>
      <c r="E16" s="33">
        <f>890-408</f>
        <v>482</v>
      </c>
      <c r="F16" s="33">
        <f>988-496</f>
        <v>492</v>
      </c>
      <c r="G16" s="33">
        <f>1073-575</f>
        <v>498</v>
      </c>
      <c r="H16" s="23">
        <f>H17*H10</f>
        <v>514.67942583732054</v>
      </c>
      <c r="I16" s="23">
        <f>I17*I10</f>
        <v>531.91749273139362</v>
      </c>
    </row>
    <row r="17" spans="1:9" ht="15" customHeight="1" x14ac:dyDescent="0.25">
      <c r="B17" s="20" t="s">
        <v>26</v>
      </c>
      <c r="C17" s="7" t="s">
        <v>3</v>
      </c>
      <c r="D17" s="6">
        <f>D16/D10</f>
        <v>8.5893854748603352E-2</v>
      </c>
      <c r="E17" s="6">
        <f t="shared" ref="E17:G17" si="2">E16/E10</f>
        <v>8.6815561959654175E-2</v>
      </c>
      <c r="F17" s="6">
        <f t="shared" si="2"/>
        <v>8.4073820915926176E-2</v>
      </c>
      <c r="G17" s="6">
        <f t="shared" si="2"/>
        <v>8.234126984126984E-2</v>
      </c>
      <c r="H17" s="29">
        <f>G17</f>
        <v>8.234126984126984E-2</v>
      </c>
      <c r="I17" s="29">
        <f>H17</f>
        <v>8.234126984126984E-2</v>
      </c>
    </row>
    <row r="18" spans="1:9" ht="15" customHeight="1" x14ac:dyDescent="0.25">
      <c r="C18" s="7"/>
      <c r="D18" s="7"/>
    </row>
    <row r="19" spans="1:9" ht="15" customHeight="1" x14ac:dyDescent="0.25">
      <c r="B19" s="2" t="s">
        <v>9</v>
      </c>
      <c r="C19" s="7" t="s">
        <v>25</v>
      </c>
      <c r="D19" s="23">
        <f>D13-D16</f>
        <v>329</v>
      </c>
      <c r="E19" s="23">
        <f t="shared" ref="E19:I19" si="3">E13-E16</f>
        <v>408</v>
      </c>
      <c r="F19" s="23">
        <f t="shared" si="3"/>
        <v>496</v>
      </c>
      <c r="G19" s="23">
        <f t="shared" si="3"/>
        <v>575</v>
      </c>
      <c r="H19" s="23">
        <f t="shared" si="3"/>
        <v>594.2583732057418</v>
      </c>
      <c r="I19" s="23">
        <f t="shared" si="3"/>
        <v>614.16176369588607</v>
      </c>
    </row>
    <row r="20" spans="1:9" ht="15" customHeight="1" x14ac:dyDescent="0.25">
      <c r="B20" s="20" t="s">
        <v>11</v>
      </c>
      <c r="C20" s="7" t="s">
        <v>3</v>
      </c>
      <c r="D20" s="6">
        <f>D19/D10</f>
        <v>5.7437150837988823E-2</v>
      </c>
      <c r="E20" s="6">
        <f t="shared" ref="E20:I20" si="4">E19/E10</f>
        <v>7.3487031700288183E-2</v>
      </c>
      <c r="F20" s="6">
        <f t="shared" si="4"/>
        <v>8.4757347915242656E-2</v>
      </c>
      <c r="G20" s="6">
        <f t="shared" si="4"/>
        <v>9.5072751322751323E-2</v>
      </c>
      <c r="H20" s="6">
        <f t="shared" si="4"/>
        <v>9.507275132275135E-2</v>
      </c>
      <c r="I20" s="6">
        <f t="shared" si="4"/>
        <v>9.5072751322751309E-2</v>
      </c>
    </row>
    <row r="21" spans="1:9" ht="15" customHeight="1" x14ac:dyDescent="0.25">
      <c r="B21" s="3"/>
    </row>
    <row r="22" spans="1:9" ht="15" customHeight="1" x14ac:dyDescent="0.25">
      <c r="B22" s="2" t="s">
        <v>10</v>
      </c>
      <c r="C22" s="7" t="s">
        <v>25</v>
      </c>
      <c r="E22" s="33">
        <v>331</v>
      </c>
      <c r="F22" s="33">
        <v>363</v>
      </c>
      <c r="G22" s="33">
        <v>370</v>
      </c>
      <c r="H22" s="23">
        <f>H23*H10</f>
        <v>382.39234449760767</v>
      </c>
      <c r="I22" s="23">
        <f>I23*I10</f>
        <v>395.19974359561371</v>
      </c>
    </row>
    <row r="23" spans="1:9" ht="15" customHeight="1" x14ac:dyDescent="0.25">
      <c r="B23" s="20" t="s">
        <v>26</v>
      </c>
      <c r="C23" s="7" t="s">
        <v>3</v>
      </c>
      <c r="E23" s="6">
        <f t="shared" ref="E23:G23" si="5">E22/E10</f>
        <v>5.961815561959654E-2</v>
      </c>
      <c r="F23" s="6">
        <f t="shared" si="5"/>
        <v>6.2030075187969921E-2</v>
      </c>
      <c r="G23" s="6">
        <f t="shared" si="5"/>
        <v>6.1177248677248677E-2</v>
      </c>
      <c r="H23" s="29">
        <f>G23</f>
        <v>6.1177248677248677E-2</v>
      </c>
      <c r="I23" s="29">
        <f>H23</f>
        <v>6.1177248677248677E-2</v>
      </c>
    </row>
    <row r="24" spans="1:9" ht="15" customHeight="1" x14ac:dyDescent="0.25">
      <c r="C24" s="7"/>
      <c r="D24" s="7"/>
    </row>
    <row r="25" spans="1:9" ht="15" customHeight="1" x14ac:dyDescent="0.25">
      <c r="A25" s="28"/>
      <c r="B25" s="2" t="s">
        <v>22</v>
      </c>
      <c r="C25" s="7" t="s">
        <v>25</v>
      </c>
      <c r="E25" s="23">
        <f>E26*E10</f>
        <v>0</v>
      </c>
      <c r="F25" s="23">
        <f t="shared" ref="F25:H25" si="6">F26*F10</f>
        <v>0</v>
      </c>
      <c r="G25" s="23">
        <f t="shared" si="6"/>
        <v>0</v>
      </c>
      <c r="H25" s="23">
        <f t="shared" si="6"/>
        <v>0</v>
      </c>
      <c r="I25" s="23">
        <f>I26*I10</f>
        <v>0</v>
      </c>
    </row>
    <row r="26" spans="1:9" ht="15" customHeight="1" x14ac:dyDescent="0.25">
      <c r="A26" s="28"/>
      <c r="B26" s="20" t="s">
        <v>26</v>
      </c>
      <c r="C26" s="7" t="s">
        <v>3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</row>
    <row r="28" spans="1:9" s="8" customFormat="1" ht="15" customHeight="1" x14ac:dyDescent="0.25">
      <c r="A28" s="10" t="s">
        <v>0</v>
      </c>
      <c r="B28" s="10" t="s">
        <v>2</v>
      </c>
      <c r="D28" s="9"/>
      <c r="E28" s="9"/>
      <c r="F28" s="9"/>
      <c r="H28" s="9"/>
    </row>
    <row r="29" spans="1:9" ht="15" customHeight="1" x14ac:dyDescent="0.25">
      <c r="B29" s="3"/>
    </row>
    <row r="30" spans="1:9" ht="15" customHeight="1" x14ac:dyDescent="0.25">
      <c r="B30" s="13" t="s">
        <v>1</v>
      </c>
    </row>
    <row r="31" spans="1:9" ht="15" customHeight="1" x14ac:dyDescent="0.25">
      <c r="A31" s="28"/>
      <c r="B31" s="2" t="s">
        <v>14</v>
      </c>
      <c r="C31" s="7" t="s">
        <v>3</v>
      </c>
      <c r="D31" s="26">
        <v>4.4999999999999998E-2</v>
      </c>
      <c r="E31" s="30"/>
    </row>
    <row r="32" spans="1:9" ht="15" customHeight="1" x14ac:dyDescent="0.25">
      <c r="A32" s="28"/>
      <c r="B32" s="2" t="s">
        <v>4</v>
      </c>
      <c r="C32" s="7" t="s">
        <v>13</v>
      </c>
      <c r="D32" s="21">
        <v>0.3</v>
      </c>
      <c r="E32" s="3"/>
    </row>
    <row r="33" spans="1:6" ht="15" customHeight="1" x14ac:dyDescent="0.25">
      <c r="A33" s="28"/>
      <c r="B33" s="2" t="s">
        <v>30</v>
      </c>
      <c r="C33" s="7" t="s">
        <v>3</v>
      </c>
      <c r="D33" s="21">
        <v>0.3</v>
      </c>
      <c r="E33" s="3"/>
    </row>
    <row r="34" spans="1:6" ht="15" customHeight="1" x14ac:dyDescent="0.25">
      <c r="A34" s="28"/>
      <c r="B34" s="2" t="s">
        <v>31</v>
      </c>
      <c r="C34" s="7" t="s">
        <v>3</v>
      </c>
      <c r="D34" s="11">
        <f>1-D33</f>
        <v>0.7</v>
      </c>
      <c r="E34" s="3"/>
    </row>
    <row r="36" spans="1:6" ht="15" customHeight="1" x14ac:dyDescent="0.25">
      <c r="B36" s="13" t="s">
        <v>27</v>
      </c>
    </row>
    <row r="37" spans="1:6" ht="15" customHeight="1" x14ac:dyDescent="0.3">
      <c r="A37" s="28"/>
      <c r="B37" s="2" t="s">
        <v>28</v>
      </c>
      <c r="C37" s="7" t="s">
        <v>5</v>
      </c>
      <c r="D37" s="25">
        <v>1.67</v>
      </c>
      <c r="E37" s="24"/>
    </row>
    <row r="38" spans="1:6" ht="15" customHeight="1" x14ac:dyDescent="0.3">
      <c r="A38" s="28"/>
      <c r="B38" s="2" t="s">
        <v>32</v>
      </c>
      <c r="C38" s="7" t="s">
        <v>3</v>
      </c>
      <c r="D38" s="26">
        <v>4.7199999999999999E-2</v>
      </c>
      <c r="E38" s="3"/>
      <c r="F38" s="24"/>
    </row>
    <row r="39" spans="1:6" ht="15" customHeight="1" x14ac:dyDescent="0.25">
      <c r="A39" s="28"/>
      <c r="B39" s="2" t="s">
        <v>18</v>
      </c>
      <c r="C39" s="7" t="s">
        <v>3</v>
      </c>
      <c r="D39" s="26">
        <v>0.03</v>
      </c>
      <c r="E39" s="3"/>
    </row>
    <row r="40" spans="1:6" ht="15" customHeight="1" x14ac:dyDescent="0.3">
      <c r="B40" s="5" t="s">
        <v>15</v>
      </c>
      <c r="C40" s="4" t="s">
        <v>3</v>
      </c>
      <c r="D40" s="27">
        <f>D39+D37*(D38)</f>
        <v>0.10882399999999999</v>
      </c>
      <c r="F40" s="24"/>
    </row>
    <row r="41" spans="1:6" ht="15" customHeight="1" x14ac:dyDescent="0.25">
      <c r="B41" s="3"/>
    </row>
    <row r="42" spans="1:6" ht="15" customHeight="1" x14ac:dyDescent="0.25">
      <c r="B42" s="13" t="s">
        <v>2</v>
      </c>
    </row>
    <row r="43" spans="1:6" ht="15" customHeight="1" x14ac:dyDescent="0.25">
      <c r="B43" s="2" t="s">
        <v>17</v>
      </c>
      <c r="C43" s="7" t="s">
        <v>3</v>
      </c>
      <c r="D43" s="6">
        <f>D33</f>
        <v>0.3</v>
      </c>
    </row>
    <row r="44" spans="1:6" ht="15" customHeight="1" x14ac:dyDescent="0.25">
      <c r="B44" s="2" t="s">
        <v>16</v>
      </c>
      <c r="C44" s="7" t="s">
        <v>3</v>
      </c>
      <c r="D44" s="6">
        <f>D34</f>
        <v>0.7</v>
      </c>
    </row>
    <row r="45" spans="1:6" ht="15" customHeight="1" x14ac:dyDescent="0.25">
      <c r="B45" s="2" t="s">
        <v>4</v>
      </c>
      <c r="C45" s="7" t="s">
        <v>3</v>
      </c>
      <c r="D45" s="6">
        <f>D32</f>
        <v>0.3</v>
      </c>
    </row>
    <row r="46" spans="1:6" ht="15" customHeight="1" x14ac:dyDescent="0.25">
      <c r="B46" s="2" t="s">
        <v>15</v>
      </c>
      <c r="C46" s="7" t="s">
        <v>3</v>
      </c>
      <c r="D46" s="6">
        <f>D40</f>
        <v>0.10882399999999999</v>
      </c>
    </row>
    <row r="47" spans="1:6" ht="15" customHeight="1" x14ac:dyDescent="0.25">
      <c r="A47" s="28"/>
      <c r="B47" s="2" t="s">
        <v>14</v>
      </c>
      <c r="C47" s="7" t="s">
        <v>3</v>
      </c>
      <c r="D47" s="6">
        <f>D31</f>
        <v>4.4999999999999998E-2</v>
      </c>
    </row>
    <row r="48" spans="1:6" ht="15" customHeight="1" x14ac:dyDescent="0.25">
      <c r="B48" s="5" t="s">
        <v>2</v>
      </c>
      <c r="C48" s="4" t="s">
        <v>3</v>
      </c>
      <c r="D48" s="27">
        <f>(D44*D46)+(D43*D47*(1-D45))</f>
        <v>8.5626799999999989E-2</v>
      </c>
    </row>
    <row r="49" spans="1:10" ht="15" customHeight="1" x14ac:dyDescent="0.25">
      <c r="B49" s="35"/>
      <c r="C49" s="36"/>
      <c r="D49" s="37"/>
    </row>
    <row r="50" spans="1:10" ht="15" customHeight="1" x14ac:dyDescent="0.25">
      <c r="A50" s="10" t="s">
        <v>0</v>
      </c>
      <c r="B50" s="10" t="s">
        <v>35</v>
      </c>
      <c r="C50" s="8"/>
      <c r="D50" s="8"/>
      <c r="E50" s="8"/>
      <c r="F50" s="9"/>
      <c r="G50" s="9"/>
      <c r="H50" s="9"/>
      <c r="I50" s="9"/>
      <c r="J50" s="8"/>
    </row>
    <row r="51" spans="1:10" ht="15" customHeight="1" x14ac:dyDescent="0.25">
      <c r="B51" s="3"/>
    </row>
    <row r="52" spans="1:10" ht="15" customHeight="1" x14ac:dyDescent="0.25">
      <c r="B52" s="2" t="s">
        <v>36</v>
      </c>
      <c r="C52" s="7" t="s">
        <v>37</v>
      </c>
      <c r="D52" s="38">
        <v>44286</v>
      </c>
    </row>
    <row r="53" spans="1:10" ht="15" customHeight="1" x14ac:dyDescent="0.25">
      <c r="B53" s="2" t="s">
        <v>38</v>
      </c>
      <c r="C53" s="7" t="s">
        <v>37</v>
      </c>
      <c r="D53" s="38">
        <v>44377</v>
      </c>
    </row>
    <row r="54" spans="1:10" ht="15" customHeight="1" x14ac:dyDescent="0.25">
      <c r="B54" s="2" t="s">
        <v>39</v>
      </c>
      <c r="C54" s="7" t="s">
        <v>5</v>
      </c>
      <c r="D54" s="39">
        <f>YEARFRAC(D52,D53)</f>
        <v>0.25</v>
      </c>
    </row>
    <row r="55" spans="1:10" ht="15" customHeight="1" x14ac:dyDescent="0.25">
      <c r="B55" s="3"/>
    </row>
    <row r="56" spans="1:10" ht="15" customHeight="1" x14ac:dyDescent="0.25">
      <c r="B56" s="2" t="s">
        <v>2</v>
      </c>
      <c r="C56" s="7" t="s">
        <v>3</v>
      </c>
      <c r="D56" s="6">
        <f>D48</f>
        <v>8.5626799999999989E-2</v>
      </c>
      <c r="E56" s="40"/>
    </row>
    <row r="57" spans="1:10" ht="15" customHeight="1" x14ac:dyDescent="0.25">
      <c r="B57" s="2" t="s">
        <v>4</v>
      </c>
      <c r="C57" s="7" t="s">
        <v>3</v>
      </c>
      <c r="D57" s="6">
        <f>D32</f>
        <v>0.3</v>
      </c>
    </row>
    <row r="58" spans="1:10" ht="15" customHeight="1" x14ac:dyDescent="0.3">
      <c r="B58" s="2" t="s">
        <v>40</v>
      </c>
      <c r="C58" s="7" t="s">
        <v>3</v>
      </c>
      <c r="D58" s="29">
        <v>0.02</v>
      </c>
      <c r="E58" s="24"/>
    </row>
    <row r="59" spans="1:10" ht="15" customHeight="1" x14ac:dyDescent="0.3">
      <c r="C59" s="7"/>
      <c r="D59" s="24"/>
      <c r="E59" s="24"/>
    </row>
    <row r="60" spans="1:10" ht="15" customHeight="1" x14ac:dyDescent="0.25">
      <c r="A60" s="10" t="s">
        <v>0</v>
      </c>
      <c r="B60" s="10" t="s">
        <v>41</v>
      </c>
      <c r="C60" s="8"/>
      <c r="D60" s="8"/>
      <c r="E60" s="9"/>
      <c r="F60" s="9"/>
      <c r="G60" s="9"/>
      <c r="H60" s="9"/>
      <c r="I60" s="9"/>
      <c r="J60" s="8"/>
    </row>
    <row r="61" spans="1:10" ht="15" customHeight="1" x14ac:dyDescent="0.25">
      <c r="B61" s="3"/>
    </row>
    <row r="62" spans="1:10" ht="15" customHeight="1" x14ac:dyDescent="0.25">
      <c r="B62" s="13" t="s">
        <v>42</v>
      </c>
    </row>
    <row r="63" spans="1:10" ht="15" customHeight="1" x14ac:dyDescent="0.25">
      <c r="B63" s="2" t="s">
        <v>9</v>
      </c>
      <c r="C63" s="7" t="s">
        <v>25</v>
      </c>
      <c r="E63" s="23">
        <f>E19</f>
        <v>408</v>
      </c>
      <c r="F63" s="23">
        <f>F19</f>
        <v>496</v>
      </c>
      <c r="G63" s="23">
        <f>G19</f>
        <v>575</v>
      </c>
      <c r="H63" s="23">
        <f>H19</f>
        <v>594.2583732057418</v>
      </c>
      <c r="I63" s="23">
        <f>I19</f>
        <v>614.16176369588607</v>
      </c>
    </row>
    <row r="64" spans="1:10" ht="15" customHeight="1" x14ac:dyDescent="0.25">
      <c r="B64" s="2" t="s">
        <v>43</v>
      </c>
      <c r="C64" s="7" t="s">
        <v>25</v>
      </c>
      <c r="E64" s="23">
        <f>E63*-$D$57</f>
        <v>-122.39999999999999</v>
      </c>
      <c r="F64" s="23">
        <f>F63*-$D$57</f>
        <v>-148.79999999999998</v>
      </c>
      <c r="G64" s="23">
        <f>G63*-$D$57</f>
        <v>-172.5</v>
      </c>
      <c r="H64" s="23">
        <f>H63*-$D$57</f>
        <v>-178.27751196172252</v>
      </c>
      <c r="I64" s="23">
        <f>I63*-$D$57</f>
        <v>-184.24852910876581</v>
      </c>
    </row>
    <row r="65" spans="1:9" ht="15" customHeight="1" x14ac:dyDescent="0.25">
      <c r="B65" s="2" t="s">
        <v>44</v>
      </c>
      <c r="C65" s="7" t="s">
        <v>25</v>
      </c>
      <c r="E65" s="48">
        <f>E16</f>
        <v>482</v>
      </c>
      <c r="F65" s="23">
        <f>F16</f>
        <v>492</v>
      </c>
      <c r="G65" s="23">
        <f>G16</f>
        <v>498</v>
      </c>
      <c r="H65" s="23">
        <f>H16</f>
        <v>514.67942583732054</v>
      </c>
      <c r="I65" s="23">
        <f>I16</f>
        <v>531.91749273139362</v>
      </c>
    </row>
    <row r="66" spans="1:9" ht="15" customHeight="1" x14ac:dyDescent="0.25">
      <c r="B66" s="2" t="s">
        <v>45</v>
      </c>
      <c r="C66" s="7" t="s">
        <v>25</v>
      </c>
      <c r="E66" s="48">
        <f>-E22</f>
        <v>-331</v>
      </c>
      <c r="F66" s="23">
        <f>-F22</f>
        <v>-363</v>
      </c>
      <c r="G66" s="23">
        <f>-G22</f>
        <v>-370</v>
      </c>
      <c r="H66" s="23">
        <f>-H22</f>
        <v>-382.39234449760767</v>
      </c>
      <c r="I66" s="23">
        <f>-I22</f>
        <v>-395.19974359561371</v>
      </c>
    </row>
    <row r="67" spans="1:9" ht="15" customHeight="1" x14ac:dyDescent="0.25">
      <c r="B67" s="2" t="s">
        <v>46</v>
      </c>
      <c r="C67" s="7" t="s">
        <v>25</v>
      </c>
      <c r="E67" s="23">
        <f>E25</f>
        <v>0</v>
      </c>
      <c r="F67" s="23">
        <f>F25</f>
        <v>0</v>
      </c>
      <c r="G67" s="23">
        <f>G25</f>
        <v>0</v>
      </c>
      <c r="H67" s="23">
        <f>H25</f>
        <v>0</v>
      </c>
      <c r="I67" s="23">
        <f>I25</f>
        <v>0</v>
      </c>
    </row>
    <row r="68" spans="1:9" ht="15" customHeight="1" x14ac:dyDescent="0.25">
      <c r="A68" s="28"/>
      <c r="B68" s="5" t="s">
        <v>63</v>
      </c>
      <c r="C68" s="4" t="s">
        <v>25</v>
      </c>
      <c r="D68" s="41"/>
      <c r="E68" s="42">
        <f>SUM(E63:E67)</f>
        <v>436.6</v>
      </c>
      <c r="F68" s="42">
        <f t="shared" ref="F68:I68" si="7">SUM(F63:F67)</f>
        <v>476.20000000000005</v>
      </c>
      <c r="G68" s="42">
        <f t="shared" si="7"/>
        <v>530.5</v>
      </c>
      <c r="H68" s="42">
        <f t="shared" si="7"/>
        <v>548.26794258373207</v>
      </c>
      <c r="I68" s="42">
        <f t="shared" si="7"/>
        <v>566.63098372290028</v>
      </c>
    </row>
    <row r="69" spans="1:9" ht="15" customHeight="1" x14ac:dyDescent="0.25">
      <c r="B69" s="2" t="s">
        <v>47</v>
      </c>
      <c r="C69" s="7" t="s">
        <v>48</v>
      </c>
      <c r="E69" s="39">
        <f>D54</f>
        <v>0.25</v>
      </c>
      <c r="F69" s="39">
        <f>IF(E69&gt;0,1,0)</f>
        <v>1</v>
      </c>
      <c r="G69" s="39">
        <f t="shared" ref="G69:I69" si="8">IF(F69&gt;0,1,0)</f>
        <v>1</v>
      </c>
      <c r="H69" s="39">
        <f t="shared" si="8"/>
        <v>1</v>
      </c>
      <c r="I69" s="39">
        <f t="shared" si="8"/>
        <v>1</v>
      </c>
    </row>
    <row r="70" spans="1:9" ht="15" customHeight="1" x14ac:dyDescent="0.25">
      <c r="B70" s="5" t="s">
        <v>64</v>
      </c>
      <c r="C70" s="4" t="s">
        <v>25</v>
      </c>
      <c r="D70" s="5"/>
      <c r="E70" s="42">
        <f>E68*E69</f>
        <v>109.15</v>
      </c>
      <c r="F70" s="42">
        <f t="shared" ref="F70:I70" si="9">F68*F69</f>
        <v>476.20000000000005</v>
      </c>
      <c r="G70" s="42">
        <f t="shared" si="9"/>
        <v>530.5</v>
      </c>
      <c r="H70" s="42">
        <f t="shared" si="9"/>
        <v>548.26794258373207</v>
      </c>
      <c r="I70" s="42">
        <f t="shared" si="9"/>
        <v>566.63098372290028</v>
      </c>
    </row>
    <row r="71" spans="1:9" ht="15" customHeight="1" x14ac:dyDescent="0.25">
      <c r="B71" s="2" t="s">
        <v>49</v>
      </c>
      <c r="C71" s="7" t="s">
        <v>48</v>
      </c>
      <c r="D71" s="12"/>
      <c r="E71" s="39">
        <f>D54</f>
        <v>0.25</v>
      </c>
      <c r="F71" s="39">
        <f>E71+1</f>
        <v>1.25</v>
      </c>
      <c r="G71" s="39">
        <f t="shared" ref="G71:I71" si="10">F71+1</f>
        <v>2.25</v>
      </c>
      <c r="H71" s="39">
        <f t="shared" si="10"/>
        <v>3.25</v>
      </c>
      <c r="I71" s="39">
        <f t="shared" si="10"/>
        <v>4.25</v>
      </c>
    </row>
    <row r="72" spans="1:9" ht="15" customHeight="1" x14ac:dyDescent="0.25">
      <c r="B72" s="2" t="s">
        <v>50</v>
      </c>
      <c r="C72" s="7" t="s">
        <v>5</v>
      </c>
      <c r="D72" s="12"/>
      <c r="E72" s="39">
        <f>1/(1+$D$56)^E71</f>
        <v>0.97967011727485098</v>
      </c>
      <c r="F72" s="39">
        <f>1/(1+$D$56)^F71</f>
        <v>0.90240045407395164</v>
      </c>
      <c r="G72" s="39">
        <f>1/(1+$D$56)^G71</f>
        <v>0.83122529222192354</v>
      </c>
      <c r="H72" s="39">
        <f>1/(1+$D$56)^H71</f>
        <v>0.76566393923024323</v>
      </c>
      <c r="I72" s="39">
        <f>1/(1+$D$56)^I71</f>
        <v>0.70527361633872998</v>
      </c>
    </row>
    <row r="73" spans="1:9" ht="15" customHeight="1" x14ac:dyDescent="0.25">
      <c r="B73" s="5" t="s">
        <v>51</v>
      </c>
      <c r="C73" s="4" t="s">
        <v>25</v>
      </c>
      <c r="D73" s="5"/>
      <c r="E73" s="42">
        <f>E70*E72</f>
        <v>106.93099330054999</v>
      </c>
      <c r="F73" s="42">
        <f t="shared" ref="F73:I73" si="11">F70*F72</f>
        <v>429.72309623001581</v>
      </c>
      <c r="G73" s="42">
        <f t="shared" si="11"/>
        <v>440.96501752373041</v>
      </c>
      <c r="H73" s="42">
        <f t="shared" si="11"/>
        <v>419.78899267232111</v>
      </c>
      <c r="I73" s="42">
        <f t="shared" si="11"/>
        <v>399.62988301982193</v>
      </c>
    </row>
    <row r="74" spans="1:9" ht="15" customHeight="1" x14ac:dyDescent="0.25">
      <c r="B74" s="3"/>
    </row>
    <row r="75" spans="1:9" ht="15" customHeight="1" x14ac:dyDescent="0.25">
      <c r="B75" s="13" t="s">
        <v>52</v>
      </c>
      <c r="C75" s="43"/>
    </row>
    <row r="76" spans="1:9" ht="15" customHeight="1" x14ac:dyDescent="0.25">
      <c r="B76" s="2" t="s">
        <v>53</v>
      </c>
      <c r="C76" s="7" t="s">
        <v>25</v>
      </c>
      <c r="I76" s="23">
        <f>(I68*(1+D58))/(D56-D58)</f>
        <v>8806.8228741513885</v>
      </c>
    </row>
    <row r="77" spans="1:9" ht="15" customHeight="1" x14ac:dyDescent="0.25">
      <c r="B77" s="2" t="s">
        <v>50</v>
      </c>
      <c r="C77" s="7" t="s">
        <v>5</v>
      </c>
      <c r="I77" s="39">
        <f>I72</f>
        <v>0.70527361633872998</v>
      </c>
    </row>
    <row r="78" spans="1:9" ht="15" customHeight="1" x14ac:dyDescent="0.25">
      <c r="B78" s="5" t="s">
        <v>54</v>
      </c>
      <c r="C78" s="4" t="s">
        <v>25</v>
      </c>
      <c r="D78" s="5"/>
      <c r="E78" s="42"/>
      <c r="F78" s="42"/>
      <c r="G78" s="42"/>
      <c r="H78" s="42"/>
      <c r="I78" s="42">
        <f>I76*I77</f>
        <v>6211.2198169073972</v>
      </c>
    </row>
    <row r="79" spans="1:9" ht="15" customHeight="1" x14ac:dyDescent="0.25">
      <c r="B79" s="3"/>
    </row>
    <row r="80" spans="1:9" ht="15" customHeight="1" x14ac:dyDescent="0.25">
      <c r="B80" s="13" t="s">
        <v>55</v>
      </c>
    </row>
    <row r="81" spans="2:5" ht="15" customHeight="1" x14ac:dyDescent="0.25">
      <c r="B81" s="2" t="s">
        <v>51</v>
      </c>
      <c r="C81" s="7" t="s">
        <v>25</v>
      </c>
      <c r="D81" s="23">
        <f>SUM(E73:I73)</f>
        <v>1797.0379827464394</v>
      </c>
      <c r="E81" s="44">
        <f>D81/$D$83</f>
        <v>0.22439811850514077</v>
      </c>
    </row>
    <row r="82" spans="2:5" ht="15" customHeight="1" x14ac:dyDescent="0.25">
      <c r="B82" s="2" t="s">
        <v>54</v>
      </c>
      <c r="C82" s="7" t="s">
        <v>25</v>
      </c>
      <c r="D82" s="23">
        <f>I78</f>
        <v>6211.2198169073972</v>
      </c>
      <c r="E82" s="44">
        <f>D82/$D$83</f>
        <v>0.7756018814948592</v>
      </c>
    </row>
    <row r="83" spans="2:5" ht="15" customHeight="1" x14ac:dyDescent="0.25">
      <c r="B83" s="5" t="s">
        <v>56</v>
      </c>
      <c r="C83" s="4" t="s">
        <v>25</v>
      </c>
      <c r="D83" s="45">
        <f>SUM(D81:D82)</f>
        <v>8008.2577996538366</v>
      </c>
    </row>
    <row r="84" spans="2:5" ht="15" customHeight="1" x14ac:dyDescent="0.25">
      <c r="B84" s="2" t="s">
        <v>57</v>
      </c>
      <c r="C84" s="7" t="s">
        <v>25</v>
      </c>
      <c r="D84" s="33">
        <v>2575</v>
      </c>
    </row>
    <row r="85" spans="2:5" ht="15" customHeight="1" x14ac:dyDescent="0.25">
      <c r="B85" s="5" t="s">
        <v>58</v>
      </c>
      <c r="C85" s="4" t="s">
        <v>25</v>
      </c>
      <c r="D85" s="45">
        <f>D83-D84</f>
        <v>5433.2577996538366</v>
      </c>
    </row>
    <row r="86" spans="2:5" ht="15" customHeight="1" x14ac:dyDescent="0.25">
      <c r="B86" s="2" t="s">
        <v>59</v>
      </c>
      <c r="C86" s="7" t="s">
        <v>60</v>
      </c>
      <c r="D86" s="46">
        <v>1225.654</v>
      </c>
    </row>
    <row r="87" spans="2:5" ht="15" customHeight="1" x14ac:dyDescent="0.25">
      <c r="B87" s="5" t="s">
        <v>61</v>
      </c>
      <c r="C87" s="4" t="s">
        <v>62</v>
      </c>
      <c r="D87" s="47">
        <f>D85/D86</f>
        <v>4.4329458392448737</v>
      </c>
    </row>
  </sheetData>
  <pageMargins left="0.7" right="0.7" top="0.75" bottom="0.75" header="0.3" footer="0.3"/>
  <pageSetup paperSize="9" scale="1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Finish</vt:lpstr>
      <vt:lpstr>Finish!Print_Area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Michael Ng</cp:lastModifiedBy>
  <dcterms:created xsi:type="dcterms:W3CDTF">2020-07-20T11:12:49Z</dcterms:created>
  <dcterms:modified xsi:type="dcterms:W3CDTF">2021-01-13T15:14:59Z</dcterms:modified>
</cp:coreProperties>
</file>